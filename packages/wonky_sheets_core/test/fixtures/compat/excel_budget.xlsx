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sheets>
    <sheet name="Budget" sheetId="1" r:id="rId1"/>
    <sheet name="Rates" sheetId="2" r:id="rId2"/>
  </sheets>
  <calcPr calcId="191029"/>
</workbook>
</file>

<file path=xl/sharedStrings.xml><?xml version="1.0" encoding="utf-8"?>
<sst xmlns="http://schemas.openxmlformats.org/spreadsheetml/2006/main" count="12" uniqueCount="12">
  <si>
    <t>Item</t>
  </si>
  <si>
    <t>Qty</t>
  </si>
  <si>
    <t>Price</t>
  </si>
  <si>
    <t>Total</t>
  </si>
  <si>
    <t>Apple</t>
  </si>
  <si>
    <t>Pear</t>
  </si>
  <si>
    <t>Plum</t>
  </si>
  <si>
    <t>Fig</t>
  </si>
  <si>
    <t>Sum</t>
  </si>
  <si>
    <t>big</t>
  </si>
  <si>
    <t>Rate</t>
  </si>
  <si>
    <t>Taxed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</si>
</sst>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3</v>
      </c>
      <c r="C2">
        <v>0.5</v>
      </c>
      <c r="D2">
        <f t="shared" ref="D2:D5" si="0">B2*C2</f>
        <v>1.5</v>
      </c>
    </row>
    <row r="3">
      <c r="A3" t="s">
        <v>5</v>
      </c>
      <c r="B3">
        <v>10</v>
      </c>
      <c r="C3">
        <v>1.25</v>
      </c>
      <c r="D3">
        <f t="shared" si="0"/>
        <v>12.5</v>
      </c>
    </row>
    <row r="4">
      <c r="A4" t="s">
        <v>6</v>
      </c>
      <c r="B4">
        <v>4</v>
      </c>
      <c r="C4">
        <v>2</v>
      </c>
      <c r="D4">
        <f t="shared" si="0"/>
        <v>8</v>
      </c>
    </row>
    <row r="5">
      <c r="A5" t="s">
        <v>7</v>
      </c>
      <c r="B5">
        <v>7</v>
      </c>
      <c r="C5">
        <v>3.5</v>
      </c>
      <c r="D5">
        <f t="shared" si="0"/>
        <v>24.5</v>
      </c>
    </row>
    <row r="7">
      <c r="A7" t="s">
        <v>8</v>
      </c>
      <c r="B7">
        <f>SUM(B2:B5)</f>
        <v>24</v>
      </c>
      <c r="C7">
        <f>AVERAGE(C2:C5)</f>
        <v>1.8125</v>
      </c>
      <c r="D7">
        <f>SUM(D2:D5)</f>
        <v>46.5</v>
      </c>
      <c r="E7" t="str">
        <f>IF(D7&gt;40,"big","small")</f>
        <v>big</v>
      </c>
      <c r="F7" t="b">
        <f>ISERROR(1/0)</f>
        <v>1</v>
      </c>
      <c r="G7" t="e">
        <f>1/0</f>
        <v>#DIV/0!</v>
      </c>
      <c r="H7" s="1">
        <f>DATE(2024,2,29)</f>
        <v>45351</v>
      </c>
    </row>
    <row r="8">
      <c r="B8">
        <f>VLOOKUP("Pear",A2:D5,4,FALSE)</f>
        <v>12.5</v>
      </c>
      <c r="C8">
        <f>SUMIF(B2:B5,"&gt;5",D2:D5)</f>
        <v>37</v>
      </c>
      <c r="D8">
        <f>ROUND(D7/B7,2)</f>
        <v>1.94</v>
      </c>
      <c r="E8" t="str">
        <f>TEXT(H7,"yyyy-mm-dd")</f>
        <v>2024-02-29</v>
      </c>
      <c r="F8">
        <f>COUNTIF(A2:A5,"P*")</f>
        <v>2</v>
      </c>
      <c r="G8" t="e">
        <f>MATCH("Kiwi",A2:A5,0)</f>
        <v>#N/A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Data>
    <row r="1">
      <c r="A1" t="s">
        <v>10</v>
      </c>
      <c r="B1">
        <v>0.2</v>
      </c>
    </row>
    <row r="2">
      <c r="A2" t="s">
        <v>11</v>
      </c>
      <c r="B2">
        <f>Budget!D7*(1+B1)</f>
        <v>55.8</v>
      </c>
    </row>
  </sheetData>
</worksheet>
</file>